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fia Baksh\Documents\"/>
    </mc:Choice>
  </mc:AlternateContent>
  <xr:revisionPtr revIDLastSave="0" documentId="8_{522EDFE4-78B1-480A-ADAA-B8C896FE9A04}" xr6:coauthVersionLast="47" xr6:coauthVersionMax="47" xr10:uidLastSave="{00000000-0000-0000-0000-000000000000}"/>
  <bookViews>
    <workbookView xWindow="-108" yWindow="-108" windowWidth="23256" windowHeight="13896" xr2:uid="{F0B6ED03-EBB1-4B9F-B02D-816476AD98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E6" i="1"/>
  <c r="E5" i="1"/>
  <c r="F5" i="1" s="1"/>
  <c r="F4" i="1"/>
  <c r="I4" i="1" s="1"/>
  <c r="E4" i="1"/>
  <c r="I3" i="1"/>
  <c r="F3" i="1"/>
  <c r="J3" i="1" s="1"/>
  <c r="K3" i="1" s="1"/>
  <c r="L3" i="1" s="1"/>
  <c r="M3" i="1" s="1"/>
  <c r="E3" i="1"/>
  <c r="F2" i="1"/>
  <c r="E2" i="1"/>
  <c r="N3" i="1" l="1"/>
  <c r="O3" i="1" s="1"/>
  <c r="I5" i="1"/>
  <c r="J4" i="1"/>
  <c r="K4" i="1"/>
  <c r="L4" i="1" s="1"/>
  <c r="M4" i="1" s="1"/>
  <c r="I2" i="1"/>
  <c r="J2" i="1" s="1"/>
  <c r="I6" i="1"/>
  <c r="J6" i="1" s="1"/>
  <c r="K5" i="1" l="1"/>
  <c r="L5" i="1" s="1"/>
  <c r="M5" i="1" s="1"/>
  <c r="O4" i="1"/>
  <c r="N4" i="1"/>
  <c r="K6" i="1"/>
  <c r="L6" i="1" s="1"/>
  <c r="M6" i="1" s="1"/>
  <c r="J5" i="1"/>
  <c r="K2" i="1"/>
  <c r="L2" i="1" s="1"/>
  <c r="M2" i="1" s="1"/>
  <c r="N2" i="1" l="1"/>
  <c r="O2" i="1" s="1"/>
  <c r="N6" i="1"/>
  <c r="O6" i="1" s="1"/>
  <c r="N5" i="1"/>
  <c r="O5" i="1" s="1"/>
</calcChain>
</file>

<file path=xl/sharedStrings.xml><?xml version="1.0" encoding="utf-8"?>
<sst xmlns="http://schemas.openxmlformats.org/spreadsheetml/2006/main" count="25" uniqueCount="25">
  <si>
    <t>QTY</t>
  </si>
  <si>
    <t>PART NO</t>
  </si>
  <si>
    <t>PART NAME</t>
  </si>
  <si>
    <t>UNIT COST USD</t>
  </si>
  <si>
    <t>TOTAL USD</t>
  </si>
  <si>
    <t>CIF USD</t>
  </si>
  <si>
    <t>DUTY</t>
  </si>
  <si>
    <t>VAT</t>
  </si>
  <si>
    <t>DUTY GYD</t>
  </si>
  <si>
    <t>VAT GYD</t>
  </si>
  <si>
    <t>LAN/COST (GYD)</t>
  </si>
  <si>
    <t>UNIT COST  (GYD)</t>
  </si>
  <si>
    <t xml:space="preserve"> UNIT SP 10% (GYD)</t>
  </si>
  <si>
    <t>14%VAT</t>
  </si>
  <si>
    <t>FINAL SP</t>
  </si>
  <si>
    <t>14075749-00</t>
  </si>
  <si>
    <t>Right Rear View Mirror Assy</t>
  </si>
  <si>
    <t>13872576-00</t>
  </si>
  <si>
    <t>Right Combination Rear lamp</t>
  </si>
  <si>
    <t>13681459-00</t>
  </si>
  <si>
    <t>Outer Handle,Door,RR</t>
  </si>
  <si>
    <t>13681498-00</t>
  </si>
  <si>
    <t>Outer Handle,Door,RL</t>
  </si>
  <si>
    <t>12886009-00</t>
  </si>
  <si>
    <t>Right Blind Spot 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</si>
</sst>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D0D0D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2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4" fontId="2" fillId="0" borderId="2" xfId="1" applyNumberFormat="1" applyFont="1" applyFill="1" applyBorder="1" applyAlignment="1">
      <alignment horizontal="right"/>
    </xf>
    <xf numFmtId="4" fontId="2" fillId="0" borderId="2" xfId="1" applyNumberFormat="1" applyFont="1" applyFill="1" applyBorder="1" applyAlignment="1"/>
    <xf numFmtId="4" fontId="2" fillId="0" borderId="3" xfId="0" applyNumberFormat="1" applyFont="1" applyBorder="1" applyAlignment="1">
      <alignment horizontal="right"/>
    </xf>
    <xf numFmtId="4" fontId="2" fillId="0" borderId="4" xfId="0" applyNumberFormat="1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3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2" fontId="3" fillId="0" borderId="6" xfId="0" applyNumberFormat="1" applyFont="1" applyBorder="1" applyAlignment="1">
      <alignment horizontal="right"/>
    </xf>
    <xf numFmtId="2" fontId="3" fillId="0" borderId="6" xfId="1" applyNumberFormat="1" applyFont="1" applyFill="1" applyBorder="1" applyAlignment="1">
      <alignment horizontal="right"/>
    </xf>
    <xf numFmtId="9" fontId="3" fillId="0" borderId="6" xfId="0" applyNumberFormat="1" applyFont="1" applyBorder="1" applyAlignment="1">
      <alignment horizontal="center"/>
    </xf>
    <xf numFmtId="4" fontId="3" fillId="0" borderId="6" xfId="1" applyNumberFormat="1" applyFont="1" applyFill="1" applyBorder="1" applyAlignment="1">
      <alignment horizontal="right"/>
    </xf>
    <xf numFmtId="4" fontId="3" fillId="0" borderId="6" xfId="1" applyNumberFormat="1" applyFont="1" applyFill="1" applyBorder="1" applyAlignment="1"/>
    <xf numFmtId="4" fontId="3" fillId="0" borderId="6" xfId="2" applyNumberFormat="1" applyFont="1" applyFill="1" applyBorder="1" applyAlignment="1">
      <alignment horizontal="right"/>
    </xf>
    <xf numFmtId="4" fontId="3" fillId="0" borderId="5" xfId="2" applyNumberFormat="1" applyFont="1" applyFill="1" applyBorder="1" applyAlignment="1"/>
    <xf numFmtId="4" fontId="3" fillId="0" borderId="0" xfId="0" applyNumberFormat="1" applyFont="1" applyAlignment="1">
      <alignment horizontal="right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3B255-8582-4A00-8E58-459CF06A0397}">
  <dimension ref="A1:O6"/>
  <sheetViews>
    <sheetView tabSelected="1" workbookViewId="0">
      <selection activeCell="C10" sqref="C10"/>
    </sheetView>
  </sheetViews>
  <sheetFormatPr defaultRowHeight="14.4" x14ac:dyDescent="0.3"/>
  <cols>
    <col min="2" max="2" width="14" customWidth="1"/>
    <col min="3" max="3" width="29.88671875" customWidth="1"/>
    <col min="4" max="4" width="13.44140625" customWidth="1"/>
    <col min="5" max="5" width="13" customWidth="1"/>
    <col min="6" max="6" width="12.77734375" customWidth="1"/>
    <col min="7" max="7" width="13.77734375" customWidth="1"/>
    <col min="8" max="8" width="10.6640625" customWidth="1"/>
    <col min="9" max="9" width="10.77734375" customWidth="1"/>
    <col min="10" max="10" width="11" customWidth="1"/>
    <col min="11" max="11" width="12" customWidth="1"/>
    <col min="12" max="12" width="12.44140625" customWidth="1"/>
    <col min="13" max="13" width="15.33203125" customWidth="1"/>
    <col min="14" max="14" width="14.77734375" customWidth="1"/>
    <col min="15" max="15" width="18.33203125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9" t="s">
        <v>13</v>
      </c>
      <c r="O1" s="10" t="s">
        <v>14</v>
      </c>
    </row>
    <row r="2" spans="1:15" x14ac:dyDescent="0.3">
      <c r="A2" s="11">
        <v>1</v>
      </c>
      <c r="B2" s="12" t="s">
        <v>15</v>
      </c>
      <c r="C2" s="13" t="s">
        <v>16</v>
      </c>
      <c r="D2" s="14">
        <v>139.74</v>
      </c>
      <c r="E2" s="15">
        <f t="shared" ref="E2:E6" si="0">(D2*A2)</f>
        <v>139.74</v>
      </c>
      <c r="F2" s="15">
        <f>E2+(E2*4)</f>
        <v>698.7</v>
      </c>
      <c r="G2" s="16">
        <v>0.2</v>
      </c>
      <c r="H2" s="16">
        <v>0.14000000000000001</v>
      </c>
      <c r="I2" s="17">
        <f>(F2*216)*G2</f>
        <v>30183.840000000004</v>
      </c>
      <c r="J2" s="17">
        <f>((F2*216)+I2)*H2</f>
        <v>25354.425600000002</v>
      </c>
      <c r="K2" s="18">
        <f>(F2*216)+I2+J2</f>
        <v>206457.4656</v>
      </c>
      <c r="L2" s="19">
        <f t="shared" ref="L2:L6" si="1">K2/A2</f>
        <v>206457.4656</v>
      </c>
      <c r="M2" s="20">
        <f>+L2+(L2*0.1)</f>
        <v>227103.21216</v>
      </c>
      <c r="N2" s="21">
        <f t="shared" ref="N2:N6" si="2">M2*14%</f>
        <v>31794.449702400001</v>
      </c>
      <c r="O2" s="21">
        <f t="shared" ref="O2:O6" si="3">M2+N2</f>
        <v>258897.66186240001</v>
      </c>
    </row>
    <row r="3" spans="1:15" x14ac:dyDescent="0.3">
      <c r="A3" s="11">
        <v>1</v>
      </c>
      <c r="B3" s="12" t="s">
        <v>17</v>
      </c>
      <c r="C3" t="s">
        <v>18</v>
      </c>
      <c r="D3" s="14">
        <v>52.75</v>
      </c>
      <c r="E3" s="15">
        <f t="shared" si="0"/>
        <v>52.75</v>
      </c>
      <c r="F3" s="15">
        <f t="shared" ref="F3:F6" si="4">E3+(E3*4)</f>
        <v>263.75</v>
      </c>
      <c r="G3" s="16">
        <v>0.2</v>
      </c>
      <c r="H3" s="16">
        <v>0.14000000000000001</v>
      </c>
      <c r="I3" s="17">
        <f t="shared" ref="I3:I6" si="5">(F3*216)*G3</f>
        <v>11394</v>
      </c>
      <c r="J3" s="17">
        <f t="shared" ref="J3:J6" si="6">((F3*216)+I3)*H3</f>
        <v>9570.9600000000009</v>
      </c>
      <c r="K3" s="18">
        <f t="shared" ref="K3:K6" si="7">(F3*216)+I3+J3</f>
        <v>77934.960000000006</v>
      </c>
      <c r="L3" s="19">
        <f t="shared" si="1"/>
        <v>77934.960000000006</v>
      </c>
      <c r="M3" s="20">
        <f t="shared" ref="M3:M6" si="8">+L3+(L3*0.1)</f>
        <v>85728.456000000006</v>
      </c>
      <c r="N3" s="21">
        <f t="shared" si="2"/>
        <v>12001.983840000003</v>
      </c>
      <c r="O3" s="21">
        <f t="shared" si="3"/>
        <v>97730.439840000006</v>
      </c>
    </row>
    <row r="4" spans="1:15" x14ac:dyDescent="0.3">
      <c r="A4" s="11">
        <v>1</v>
      </c>
      <c r="B4" s="12" t="s">
        <v>19</v>
      </c>
      <c r="C4" s="13" t="s">
        <v>20</v>
      </c>
      <c r="D4" s="14">
        <v>6.72</v>
      </c>
      <c r="E4" s="15">
        <f t="shared" si="0"/>
        <v>6.72</v>
      </c>
      <c r="F4" s="15">
        <f t="shared" si="4"/>
        <v>33.6</v>
      </c>
      <c r="G4" s="16">
        <v>0.2</v>
      </c>
      <c r="H4" s="16">
        <v>0.14000000000000001</v>
      </c>
      <c r="I4" s="17">
        <f t="shared" si="5"/>
        <v>1451.5200000000002</v>
      </c>
      <c r="J4" s="17">
        <f t="shared" si="6"/>
        <v>1219.2768000000003</v>
      </c>
      <c r="K4" s="18">
        <f t="shared" si="7"/>
        <v>9928.3968000000004</v>
      </c>
      <c r="L4" s="19">
        <f t="shared" si="1"/>
        <v>9928.3968000000004</v>
      </c>
      <c r="M4" s="20">
        <f>+L4+(L4*1)</f>
        <v>19856.793600000001</v>
      </c>
      <c r="N4" s="21">
        <f t="shared" si="2"/>
        <v>2779.9511040000002</v>
      </c>
      <c r="O4" s="21">
        <f t="shared" si="3"/>
        <v>22636.744704000001</v>
      </c>
    </row>
    <row r="5" spans="1:15" x14ac:dyDescent="0.3">
      <c r="A5" s="11">
        <v>1</v>
      </c>
      <c r="B5" s="12" t="s">
        <v>21</v>
      </c>
      <c r="C5" s="13" t="s">
        <v>22</v>
      </c>
      <c r="D5" s="14">
        <v>6.72</v>
      </c>
      <c r="E5" s="15">
        <f t="shared" si="0"/>
        <v>6.72</v>
      </c>
      <c r="F5" s="15">
        <f t="shared" si="4"/>
        <v>33.6</v>
      </c>
      <c r="G5" s="16">
        <v>0.2</v>
      </c>
      <c r="H5" s="16">
        <v>0.14000000000000001</v>
      </c>
      <c r="I5" s="17">
        <f t="shared" si="5"/>
        <v>1451.5200000000002</v>
      </c>
      <c r="J5" s="17">
        <f t="shared" si="6"/>
        <v>1219.2768000000003</v>
      </c>
      <c r="K5" s="18">
        <f t="shared" si="7"/>
        <v>9928.3968000000004</v>
      </c>
      <c r="L5" s="19">
        <f t="shared" si="1"/>
        <v>9928.3968000000004</v>
      </c>
      <c r="M5" s="20">
        <f>+L5+(L5*1)</f>
        <v>19856.793600000001</v>
      </c>
      <c r="N5" s="21">
        <f t="shared" si="2"/>
        <v>2779.9511040000002</v>
      </c>
      <c r="O5" s="21">
        <f t="shared" si="3"/>
        <v>22636.744704000001</v>
      </c>
    </row>
    <row r="6" spans="1:15" x14ac:dyDescent="0.3">
      <c r="A6" s="11">
        <v>1</v>
      </c>
      <c r="B6" s="12" t="s">
        <v>23</v>
      </c>
      <c r="C6" s="13" t="s">
        <v>24</v>
      </c>
      <c r="D6" s="14">
        <v>9.7200000000000006</v>
      </c>
      <c r="E6" s="15">
        <f t="shared" si="0"/>
        <v>9.7200000000000006</v>
      </c>
      <c r="F6" s="15">
        <f t="shared" si="4"/>
        <v>48.6</v>
      </c>
      <c r="G6" s="16">
        <v>0.3</v>
      </c>
      <c r="H6" s="16">
        <v>0.14000000000000001</v>
      </c>
      <c r="I6" s="17">
        <f t="shared" si="5"/>
        <v>3149.28</v>
      </c>
      <c r="J6" s="17">
        <f t="shared" si="6"/>
        <v>1910.5632000000003</v>
      </c>
      <c r="K6" s="18">
        <f t="shared" si="7"/>
        <v>15557.443200000002</v>
      </c>
      <c r="L6" s="19">
        <f t="shared" si="1"/>
        <v>15557.443200000002</v>
      </c>
      <c r="M6" s="20">
        <f t="shared" si="8"/>
        <v>17113.187520000003</v>
      </c>
      <c r="N6" s="21">
        <f t="shared" si="2"/>
        <v>2395.8462528000005</v>
      </c>
      <c r="O6" s="21">
        <f t="shared" si="3"/>
        <v>19509.033772800005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arafia baksh</dc:creator>
  <cp:lastModifiedBy>arafia baksh</cp:lastModifiedBy>
  <dcterms:created xsi:type="dcterms:W3CDTF">2026-09-21T18:23:09Z</dcterms:created>
  <dcterms:modified xsi:type="dcterms:W3CDTF">2026-09-21T18:25:11Z</dcterms:modified>
</cp:coreProperties>
</file>